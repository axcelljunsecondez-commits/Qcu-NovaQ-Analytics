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p\Documents\"/>
    </mc:Choice>
  </mc:AlternateContent>
  <bookViews>
    <workbookView xWindow="0" yWindow="0" windowWidth="2043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7" i="1"/>
  <c r="H8" i="1"/>
  <c r="H9" i="1"/>
  <c r="H11" i="1"/>
  <c r="H12" i="1"/>
  <c r="H13" i="1"/>
  <c r="H14" i="1"/>
  <c r="H15" i="1"/>
  <c r="G14" i="1"/>
  <c r="G13" i="1"/>
  <c r="G12" i="1"/>
  <c r="G11" i="1"/>
  <c r="G8" i="1"/>
  <c r="G7" i="1"/>
  <c r="H6" i="1"/>
  <c r="G6" i="1"/>
  <c r="G5" i="1"/>
  <c r="G4" i="1"/>
  <c r="H10" i="1"/>
  <c r="G9" i="1"/>
  <c r="G3" i="1"/>
  <c r="G10" i="1"/>
  <c r="G15" i="1"/>
  <c r="J3" i="1" l="1"/>
  <c r="M3" i="1" s="1"/>
  <c r="K3" i="1" l="1"/>
  <c r="N3" i="1" l="1"/>
  <c r="L3" i="1"/>
  <c r="O3" i="1" l="1"/>
  <c r="Q3" i="1" s="1"/>
  <c r="P3" i="1"/>
  <c r="S3" i="1"/>
  <c r="T3" i="1" l="1"/>
</calcChain>
</file>

<file path=xl/sharedStrings.xml><?xml version="1.0" encoding="utf-8"?>
<sst xmlns="http://schemas.openxmlformats.org/spreadsheetml/2006/main" count="89" uniqueCount="31">
  <si>
    <t>DAY 1</t>
  </si>
  <si>
    <t>Day 1 (Monday)</t>
  </si>
  <si>
    <t>Time</t>
  </si>
  <si>
    <t>lambda</t>
  </si>
  <si>
    <t>mu</t>
  </si>
  <si>
    <t>c</t>
  </si>
  <si>
    <t>time</t>
  </si>
  <si>
    <t>p</t>
  </si>
  <si>
    <t>P0</t>
  </si>
  <si>
    <t>Pn</t>
  </si>
  <si>
    <t>P^2</t>
  </si>
  <si>
    <t>Lq</t>
  </si>
  <si>
    <t>Ls</t>
  </si>
  <si>
    <t>Wq</t>
  </si>
  <si>
    <t>Ws</t>
  </si>
  <si>
    <t>Cs</t>
  </si>
  <si>
    <t>Cw</t>
  </si>
  <si>
    <t>TC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</si>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</sst>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0" fontId="0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2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2" fontId="2" fillId="3" borderId="0" xfId="0" applyNumberFormat="1" applyFont="1" applyFill="1" applyAlignment="1">
      <alignment horizontal="center" vertical="center"/>
    </xf>
    <xf numFmtId="0" fontId="0" fillId="3" borderId="0" xfId="0" applyFill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workbookViewId="0">
      <selection activeCell="K9" sqref="K9"/>
    </sheetView>
  </sheetViews>
  <sheetFormatPr defaultRowHeight="15" x14ac:dyDescent="0.25"/>
  <sheetData>
    <row r="1" spans="1:20" ht="15.75" thickBot="1" x14ac:dyDescent="0.3">
      <c r="A1" s="1" t="s">
        <v>0</v>
      </c>
      <c r="B1" s="1"/>
      <c r="C1" s="1"/>
      <c r="D1" s="1"/>
      <c r="E1" s="2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spans="1:20" ht="15.75" thickBot="1" x14ac:dyDescent="0.3">
      <c r="A2" s="6" t="s">
        <v>2</v>
      </c>
      <c r="B2" s="6" t="s">
        <v>3</v>
      </c>
      <c r="C2" s="6" t="s">
        <v>4</v>
      </c>
      <c r="D2" s="7" t="s">
        <v>5</v>
      </c>
      <c r="E2" s="8"/>
      <c r="F2" s="9" t="s">
        <v>6</v>
      </c>
      <c r="G2" s="10" t="s">
        <v>3</v>
      </c>
      <c r="H2" s="11" t="s">
        <v>4</v>
      </c>
      <c r="I2" s="12" t="s">
        <v>5</v>
      </c>
      <c r="J2" s="13" t="s">
        <v>7</v>
      </c>
      <c r="K2" s="14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2" t="s">
        <v>17</v>
      </c>
    </row>
    <row r="3" spans="1:20" x14ac:dyDescent="0.25">
      <c r="A3" s="6" t="s">
        <v>18</v>
      </c>
      <c r="B3" s="38">
        <v>3</v>
      </c>
      <c r="C3" s="38">
        <v>4.8648648648648667</v>
      </c>
      <c r="D3" s="15">
        <v>1</v>
      </c>
      <c r="E3" s="16"/>
      <c r="F3" s="17" t="s">
        <v>18</v>
      </c>
      <c r="G3" s="18">
        <f>SUM(B3:B5)</f>
        <v>9</v>
      </c>
      <c r="H3" s="18">
        <f>SUM(C3:C5)/I3</f>
        <v>6.1670761670761722</v>
      </c>
      <c r="I3" s="18">
        <v>3</v>
      </c>
      <c r="J3" s="18">
        <f>G3/(I3*H3)</f>
        <v>0.48645418326693185</v>
      </c>
      <c r="K3" s="19">
        <f>1 / (1 + (G3/H3) + ((G3/H3)^2)/2 + ((G3/H3)^3)/(6*(1-J3)))</f>
        <v>0.22060808692670106</v>
      </c>
      <c r="L3" s="20">
        <f>((G3/H3)^4 / (6 * 3)) *K3</f>
        <v>5.5590644885381749E-2</v>
      </c>
      <c r="M3" s="20">
        <f>J3^2</f>
        <v>0.23663767241789771</v>
      </c>
      <c r="N3" s="19">
        <f>(K3 * (G3/H3)^I3 * J3) / (FACT(I3) * (1-J3)^2)</f>
        <v>0.21078675613633102</v>
      </c>
      <c r="O3" s="19">
        <f>N3 + (G3/H3)</f>
        <v>1.6701493059371266</v>
      </c>
      <c r="P3" s="19">
        <f>N3 / G3</f>
        <v>2.3420750681814557E-2</v>
      </c>
      <c r="Q3" s="18">
        <f>O3/G3</f>
        <v>0.18557214510412517</v>
      </c>
      <c r="R3" s="18">
        <v>94</v>
      </c>
      <c r="S3" s="18">
        <f>N3*100</f>
        <v>21.078675613633102</v>
      </c>
      <c r="T3" s="21">
        <f>(R3 * I3) + (S3 * O3)</f>
        <v>317.20453544618317</v>
      </c>
    </row>
    <row r="4" spans="1:20" x14ac:dyDescent="0.25">
      <c r="A4" s="6" t="s">
        <v>18</v>
      </c>
      <c r="B4" s="38">
        <v>3</v>
      </c>
      <c r="C4" s="38">
        <v>5.4545454545454541</v>
      </c>
      <c r="D4" s="22">
        <v>1</v>
      </c>
      <c r="E4" s="23"/>
      <c r="F4" s="17" t="s">
        <v>19</v>
      </c>
      <c r="G4" s="24">
        <f>SUM(B6:B10)</f>
        <v>9</v>
      </c>
      <c r="H4" s="24">
        <f>SUM(C6:C10)/I4</f>
        <v>4.577011224070052</v>
      </c>
      <c r="I4" s="25">
        <v>5</v>
      </c>
      <c r="J4" s="25"/>
      <c r="K4" s="25"/>
      <c r="L4" s="26"/>
      <c r="M4" s="26"/>
      <c r="N4" s="25"/>
      <c r="O4" s="25"/>
      <c r="P4" s="25"/>
      <c r="Q4" s="25"/>
      <c r="R4" s="25"/>
      <c r="S4" s="25"/>
      <c r="T4" s="27"/>
    </row>
    <row r="5" spans="1:20" x14ac:dyDescent="0.25">
      <c r="A5" s="6" t="s">
        <v>18</v>
      </c>
      <c r="B5" s="38">
        <v>3</v>
      </c>
      <c r="C5" s="38">
        <v>8.1818181818181959</v>
      </c>
      <c r="D5" s="15">
        <v>1</v>
      </c>
      <c r="E5" s="16"/>
      <c r="F5" s="17" t="s">
        <v>20</v>
      </c>
      <c r="G5" s="24">
        <f>SUM(B11:B15)</f>
        <v>9</v>
      </c>
      <c r="H5" s="24">
        <f>SUM(C11:C15)/I5</f>
        <v>6.134440961739382</v>
      </c>
      <c r="I5" s="25">
        <v>5</v>
      </c>
      <c r="J5" s="25"/>
      <c r="K5" s="25"/>
      <c r="L5" s="26"/>
      <c r="M5" s="26"/>
      <c r="N5" s="25"/>
      <c r="O5" s="25"/>
      <c r="P5" s="25"/>
      <c r="Q5" s="25"/>
      <c r="R5" s="25"/>
      <c r="S5" s="25"/>
      <c r="T5" s="27"/>
    </row>
    <row r="6" spans="1:20" x14ac:dyDescent="0.25">
      <c r="A6" s="6" t="s">
        <v>19</v>
      </c>
      <c r="B6" s="38">
        <v>2</v>
      </c>
      <c r="C6" s="38">
        <v>3.5294117647058947</v>
      </c>
      <c r="D6" s="22">
        <v>1</v>
      </c>
      <c r="E6" s="23"/>
      <c r="F6" s="17" t="s">
        <v>21</v>
      </c>
      <c r="G6" s="24">
        <f>SUM(B16:B20)</f>
        <v>9</v>
      </c>
      <c r="H6" s="24">
        <f>SUM(C16:C20)/I6</f>
        <v>6.134440961739382</v>
      </c>
      <c r="I6" s="25">
        <v>5</v>
      </c>
      <c r="J6" s="25"/>
      <c r="K6" s="25"/>
      <c r="L6" s="26"/>
      <c r="M6" s="26"/>
      <c r="N6" s="25"/>
      <c r="O6" s="25"/>
      <c r="P6" s="25"/>
      <c r="Q6" s="25"/>
      <c r="R6" s="25"/>
      <c r="S6" s="25"/>
      <c r="T6" s="27"/>
    </row>
    <row r="7" spans="1:20" x14ac:dyDescent="0.25">
      <c r="A7" s="6" t="s">
        <v>19</v>
      </c>
      <c r="B7" s="38">
        <v>2</v>
      </c>
      <c r="C7" s="38">
        <v>4.2857142857142883</v>
      </c>
      <c r="D7" s="15">
        <v>1</v>
      </c>
      <c r="E7" s="16"/>
      <c r="F7" s="17" t="s">
        <v>22</v>
      </c>
      <c r="G7" s="24">
        <f>SUM(B21:B25)</f>
        <v>9</v>
      </c>
      <c r="H7" s="24">
        <f>SUM(C21:C25)/I7</f>
        <v>5.5190476190476332</v>
      </c>
      <c r="I7" s="25">
        <v>5</v>
      </c>
      <c r="J7" s="25"/>
      <c r="K7" s="25"/>
      <c r="L7" s="26"/>
      <c r="M7" s="26"/>
      <c r="N7" s="25"/>
      <c r="O7" s="25"/>
      <c r="P7" s="25"/>
      <c r="Q7" s="25"/>
      <c r="R7" s="25"/>
      <c r="S7" s="25"/>
      <c r="T7" s="27"/>
    </row>
    <row r="8" spans="1:20" x14ac:dyDescent="0.25">
      <c r="A8" s="6" t="s">
        <v>19</v>
      </c>
      <c r="B8" s="38">
        <v>2</v>
      </c>
      <c r="C8" s="38">
        <v>5.4545454545454737</v>
      </c>
      <c r="D8" s="22">
        <v>1</v>
      </c>
      <c r="E8" s="23"/>
      <c r="F8" s="17" t="s">
        <v>23</v>
      </c>
      <c r="G8" s="24">
        <f>SUM(B26:B30)</f>
        <v>9</v>
      </c>
      <c r="H8" s="24">
        <f>SUM(C26:C30)/I8</f>
        <v>5.8645827145827036</v>
      </c>
      <c r="I8" s="25">
        <v>5</v>
      </c>
      <c r="J8" s="25"/>
      <c r="K8" s="25"/>
      <c r="L8" s="26"/>
      <c r="M8" s="26"/>
      <c r="N8" s="25"/>
      <c r="O8" s="25"/>
      <c r="P8" s="25"/>
      <c r="Q8" s="25"/>
      <c r="R8" s="25"/>
      <c r="S8" s="25"/>
      <c r="T8" s="27"/>
    </row>
    <row r="9" spans="1:20" x14ac:dyDescent="0.25">
      <c r="A9" s="6" t="s">
        <v>19</v>
      </c>
      <c r="B9" s="38">
        <v>2</v>
      </c>
      <c r="C9" s="38">
        <v>5.0000000000000018</v>
      </c>
      <c r="D9" s="15">
        <v>1</v>
      </c>
      <c r="E9" s="16"/>
      <c r="F9" s="17" t="s">
        <v>24</v>
      </c>
      <c r="G9" s="24">
        <f>SUM(B31:B32)</f>
        <v>9</v>
      </c>
      <c r="H9" s="24">
        <f>SUM(C31:C32)/I9</f>
        <v>5.0183823529411891</v>
      </c>
      <c r="I9" s="25">
        <v>2</v>
      </c>
      <c r="J9" s="25"/>
      <c r="K9" s="25"/>
      <c r="L9" s="26"/>
      <c r="M9" s="26"/>
      <c r="N9" s="25"/>
      <c r="O9" s="25"/>
      <c r="P9" s="25"/>
      <c r="Q9" s="25"/>
      <c r="R9" s="25"/>
      <c r="S9" s="25"/>
      <c r="T9" s="27"/>
    </row>
    <row r="10" spans="1:20" x14ac:dyDescent="0.25">
      <c r="A10" s="6" t="s">
        <v>19</v>
      </c>
      <c r="B10" s="38">
        <v>1</v>
      </c>
      <c r="C10" s="38">
        <v>4.6153846153846034</v>
      </c>
      <c r="D10" s="22">
        <v>1</v>
      </c>
      <c r="E10" s="23"/>
      <c r="F10" s="17" t="s">
        <v>25</v>
      </c>
      <c r="G10" s="24">
        <f>SUM(B33:B35)</f>
        <v>9</v>
      </c>
      <c r="H10" s="24">
        <f>SUM(C33:C35)/I10</f>
        <v>4.3174089068825898</v>
      </c>
      <c r="I10" s="25">
        <v>3</v>
      </c>
      <c r="J10" s="25"/>
      <c r="K10" s="25"/>
      <c r="L10" s="26"/>
      <c r="M10" s="26"/>
      <c r="N10" s="25"/>
      <c r="O10" s="25"/>
      <c r="P10" s="25"/>
      <c r="Q10" s="25"/>
      <c r="R10" s="25"/>
      <c r="S10" s="25"/>
      <c r="T10" s="27"/>
    </row>
    <row r="11" spans="1:20" x14ac:dyDescent="0.25">
      <c r="A11" s="6" t="s">
        <v>20</v>
      </c>
      <c r="B11" s="38">
        <v>2</v>
      </c>
      <c r="C11" s="38">
        <v>7.0588235294117556</v>
      </c>
      <c r="D11" s="15">
        <v>1</v>
      </c>
      <c r="E11" s="16"/>
      <c r="F11" s="17" t="s">
        <v>26</v>
      </c>
      <c r="G11" s="24">
        <f>SUM(B36:B40)</f>
        <v>10</v>
      </c>
      <c r="H11" s="24">
        <f>SUM(C36:C40)/I11</f>
        <v>6.4361904761905011</v>
      </c>
      <c r="I11" s="25">
        <v>5</v>
      </c>
      <c r="J11" s="25"/>
      <c r="K11" s="25"/>
      <c r="L11" s="26"/>
      <c r="M11" s="26"/>
      <c r="N11" s="25"/>
      <c r="O11" s="25"/>
      <c r="P11" s="25"/>
      <c r="Q11" s="25"/>
      <c r="R11" s="25"/>
      <c r="S11" s="25"/>
      <c r="T11" s="27"/>
    </row>
    <row r="12" spans="1:20" x14ac:dyDescent="0.25">
      <c r="A12" s="6" t="s">
        <v>20</v>
      </c>
      <c r="B12" s="38">
        <v>2</v>
      </c>
      <c r="C12" s="38">
        <v>8.5714285714286014</v>
      </c>
      <c r="D12" s="22">
        <v>1</v>
      </c>
      <c r="E12" s="23"/>
      <c r="F12" s="17" t="s">
        <v>27</v>
      </c>
      <c r="G12" s="24">
        <f>SUM(B41:B45)</f>
        <v>9</v>
      </c>
      <c r="H12" s="24">
        <f>SUM(C41:C45)/I12</f>
        <v>4.7120017913121401</v>
      </c>
      <c r="I12" s="25">
        <v>5</v>
      </c>
      <c r="J12" s="25"/>
      <c r="K12" s="25"/>
      <c r="L12" s="26"/>
      <c r="M12" s="26"/>
      <c r="N12" s="25"/>
      <c r="O12" s="25"/>
      <c r="P12" s="25"/>
      <c r="Q12" s="25"/>
      <c r="R12" s="25"/>
      <c r="S12" s="25"/>
      <c r="T12" s="27"/>
    </row>
    <row r="13" spans="1:20" x14ac:dyDescent="0.25">
      <c r="A13" s="6" t="s">
        <v>20</v>
      </c>
      <c r="B13" s="38">
        <v>2</v>
      </c>
      <c r="C13" s="38">
        <v>6.6666666666666314</v>
      </c>
      <c r="D13" s="15">
        <v>1</v>
      </c>
      <c r="E13" s="16"/>
      <c r="F13" s="17" t="s">
        <v>28</v>
      </c>
      <c r="G13" s="24">
        <f>SUM(B46:B50)</f>
        <v>9</v>
      </c>
      <c r="H13" s="24">
        <f>SUM(C46:C50)/I13</f>
        <v>5.3153846153846285</v>
      </c>
      <c r="I13" s="25">
        <v>5</v>
      </c>
      <c r="J13" s="25"/>
      <c r="K13" s="25"/>
      <c r="L13" s="26"/>
      <c r="M13" s="26"/>
      <c r="N13" s="25"/>
      <c r="O13" s="25"/>
      <c r="P13" s="25"/>
      <c r="Q13" s="25"/>
      <c r="R13" s="25"/>
      <c r="S13" s="25"/>
      <c r="T13" s="27"/>
    </row>
    <row r="14" spans="1:20" x14ac:dyDescent="0.25">
      <c r="A14" s="6" t="s">
        <v>20</v>
      </c>
      <c r="B14" s="38">
        <v>2</v>
      </c>
      <c r="C14" s="38">
        <v>5.2173913043478084</v>
      </c>
      <c r="D14" s="22">
        <v>1</v>
      </c>
      <c r="E14" s="23"/>
      <c r="F14" s="17" t="s">
        <v>29</v>
      </c>
      <c r="G14" s="24">
        <f>SUM(B51:B55)</f>
        <v>9</v>
      </c>
      <c r="H14" s="24">
        <f>SUM(C51:C55)/I14</f>
        <v>6.454345654345639</v>
      </c>
      <c r="I14" s="25">
        <v>5</v>
      </c>
      <c r="J14" s="25"/>
      <c r="K14" s="25"/>
      <c r="L14" s="26"/>
      <c r="M14" s="26"/>
      <c r="N14" s="25"/>
      <c r="O14" s="25"/>
      <c r="P14" s="25"/>
      <c r="Q14" s="25"/>
      <c r="R14" s="25"/>
      <c r="S14" s="25"/>
      <c r="T14" s="27"/>
    </row>
    <row r="15" spans="1:20" ht="15.75" thickBot="1" x14ac:dyDescent="0.3">
      <c r="A15" s="6" t="s">
        <v>20</v>
      </c>
      <c r="B15" s="38">
        <v>1</v>
      </c>
      <c r="C15" s="38">
        <v>3.1578947368421164</v>
      </c>
      <c r="D15" s="15">
        <v>1</v>
      </c>
      <c r="E15" s="16"/>
      <c r="F15" s="28" t="s">
        <v>30</v>
      </c>
      <c r="G15" s="29">
        <f>SUM(B56:B57)</f>
        <v>8</v>
      </c>
      <c r="H15" s="29">
        <f>SUM(C56:C57)/I15</f>
        <v>4.6951219512195035</v>
      </c>
      <c r="I15" s="30">
        <v>2</v>
      </c>
      <c r="J15" s="30"/>
      <c r="K15" s="30"/>
      <c r="L15" s="31"/>
      <c r="M15" s="31"/>
      <c r="N15" s="30"/>
      <c r="O15" s="30"/>
      <c r="P15" s="30"/>
      <c r="Q15" s="30"/>
      <c r="R15" s="30"/>
      <c r="S15" s="30"/>
      <c r="T15" s="32"/>
    </row>
    <row r="16" spans="1:20" x14ac:dyDescent="0.25">
      <c r="A16" s="6" t="s">
        <v>21</v>
      </c>
      <c r="B16" s="38">
        <v>2</v>
      </c>
      <c r="C16" s="38">
        <v>7.0588235294117556</v>
      </c>
      <c r="D16" s="22">
        <v>1</v>
      </c>
      <c r="E16" s="23"/>
      <c r="F16" s="23"/>
      <c r="G16" s="33"/>
      <c r="H16" s="23"/>
      <c r="I16" s="34"/>
      <c r="J16" s="2"/>
      <c r="K16" s="2"/>
      <c r="L16" s="35"/>
      <c r="M16" s="35"/>
      <c r="N16" s="2"/>
      <c r="O16" s="2"/>
      <c r="P16" s="2"/>
      <c r="Q16" s="2"/>
      <c r="R16" s="2"/>
      <c r="S16" s="2"/>
      <c r="T16" s="2"/>
    </row>
    <row r="17" spans="1:20" x14ac:dyDescent="0.25">
      <c r="A17" s="6" t="s">
        <v>21</v>
      </c>
      <c r="B17" s="38">
        <v>2</v>
      </c>
      <c r="C17" s="38">
        <v>8.5714285714286014</v>
      </c>
      <c r="D17" s="15">
        <v>1</v>
      </c>
      <c r="E17" s="16"/>
      <c r="F17" s="16"/>
      <c r="G17" s="36"/>
      <c r="H17" s="16"/>
      <c r="I17" s="37"/>
      <c r="J17" s="2"/>
      <c r="K17" s="2"/>
      <c r="L17" s="35"/>
      <c r="M17" s="35"/>
      <c r="N17" s="2"/>
      <c r="O17" s="2"/>
      <c r="P17" s="2"/>
      <c r="Q17" s="2"/>
      <c r="R17" s="2"/>
      <c r="S17" s="2"/>
      <c r="T17" s="2"/>
    </row>
    <row r="18" spans="1:20" x14ac:dyDescent="0.25">
      <c r="A18" s="6" t="s">
        <v>21</v>
      </c>
      <c r="B18" s="38">
        <v>2</v>
      </c>
      <c r="C18" s="38">
        <v>6.6666666666666314</v>
      </c>
      <c r="D18" s="22">
        <v>1</v>
      </c>
      <c r="E18" s="23"/>
      <c r="F18" s="23"/>
      <c r="G18" s="33"/>
      <c r="H18" s="23"/>
      <c r="I18" s="34"/>
      <c r="J18" s="2"/>
      <c r="K18" s="2"/>
      <c r="L18" s="35"/>
      <c r="M18" s="35"/>
      <c r="N18" s="2"/>
      <c r="O18" s="2"/>
      <c r="P18" s="2"/>
      <c r="Q18" s="2"/>
      <c r="R18" s="2"/>
      <c r="S18" s="2"/>
      <c r="T18" s="2"/>
    </row>
    <row r="19" spans="1:20" x14ac:dyDescent="0.25">
      <c r="A19" s="6" t="s">
        <v>21</v>
      </c>
      <c r="B19" s="38">
        <v>2</v>
      </c>
      <c r="C19" s="38">
        <v>5.2173913043478084</v>
      </c>
      <c r="D19" s="15">
        <v>1</v>
      </c>
      <c r="E19" s="16"/>
      <c r="F19" s="16"/>
      <c r="G19" s="36"/>
      <c r="H19" s="16"/>
      <c r="I19" s="37"/>
      <c r="J19" s="2"/>
      <c r="K19" s="2"/>
      <c r="L19" s="35"/>
      <c r="M19" s="35"/>
      <c r="N19" s="2"/>
      <c r="O19" s="2"/>
      <c r="P19" s="2"/>
      <c r="Q19" s="2"/>
      <c r="R19" s="2"/>
      <c r="S19" s="2"/>
      <c r="T19" s="2"/>
    </row>
    <row r="20" spans="1:20" x14ac:dyDescent="0.25">
      <c r="A20" s="6" t="s">
        <v>21</v>
      </c>
      <c r="B20" s="38">
        <v>1</v>
      </c>
      <c r="C20" s="38">
        <v>3.1578947368421164</v>
      </c>
      <c r="D20" s="22">
        <v>1</v>
      </c>
      <c r="E20" s="23"/>
      <c r="F20" s="23"/>
      <c r="G20" s="33"/>
      <c r="H20" s="23"/>
      <c r="I20" s="34"/>
      <c r="J20" s="2"/>
      <c r="K20" s="2"/>
      <c r="L20" s="35"/>
      <c r="M20" s="35"/>
      <c r="N20" s="2"/>
      <c r="O20" s="2"/>
      <c r="P20" s="2"/>
      <c r="Q20" s="2"/>
      <c r="R20" s="2"/>
      <c r="S20" s="2"/>
      <c r="T20" s="2"/>
    </row>
    <row r="21" spans="1:20" x14ac:dyDescent="0.25">
      <c r="A21" s="6" t="s">
        <v>22</v>
      </c>
      <c r="B21" s="38">
        <v>2</v>
      </c>
      <c r="C21" s="38">
        <v>7.4999999999999902</v>
      </c>
      <c r="D21" s="15">
        <v>1</v>
      </c>
      <c r="E21" s="16"/>
      <c r="F21" s="16"/>
      <c r="G21" s="36"/>
      <c r="H21" s="16"/>
      <c r="I21" s="37"/>
      <c r="J21" s="2"/>
      <c r="K21" s="2"/>
      <c r="L21" s="35"/>
      <c r="M21" s="35"/>
      <c r="N21" s="2"/>
      <c r="O21" s="2"/>
      <c r="P21" s="2"/>
      <c r="Q21" s="2"/>
      <c r="R21" s="2"/>
      <c r="S21" s="2"/>
      <c r="T21" s="2"/>
    </row>
    <row r="22" spans="1:20" x14ac:dyDescent="0.25">
      <c r="A22" s="6" t="s">
        <v>22</v>
      </c>
      <c r="B22" s="38">
        <v>2</v>
      </c>
      <c r="C22" s="38">
        <v>5.7142857142856913</v>
      </c>
      <c r="D22" s="22">
        <v>1</v>
      </c>
      <c r="E22" s="23"/>
      <c r="F22" s="23"/>
      <c r="G22" s="33"/>
      <c r="H22" s="23"/>
      <c r="I22" s="34"/>
      <c r="J22" s="2"/>
      <c r="K22" s="2"/>
      <c r="L22" s="35"/>
      <c r="M22" s="35"/>
      <c r="N22" s="2"/>
      <c r="O22" s="2"/>
      <c r="P22" s="2"/>
      <c r="Q22" s="2"/>
      <c r="R22" s="2"/>
      <c r="S22" s="2"/>
      <c r="T22" s="2"/>
    </row>
    <row r="23" spans="1:20" x14ac:dyDescent="0.25">
      <c r="A23" s="6" t="s">
        <v>22</v>
      </c>
      <c r="B23" s="38">
        <v>2</v>
      </c>
      <c r="C23" s="38">
        <v>4.2857142857143007</v>
      </c>
      <c r="D23" s="15">
        <v>1</v>
      </c>
      <c r="E23" s="16"/>
      <c r="F23" s="16"/>
      <c r="G23" s="36"/>
      <c r="H23" s="16"/>
      <c r="I23" s="37"/>
      <c r="J23" s="2"/>
      <c r="K23" s="2"/>
      <c r="L23" s="35"/>
      <c r="M23" s="35"/>
      <c r="N23" s="2"/>
      <c r="O23" s="2"/>
      <c r="P23" s="2"/>
      <c r="Q23" s="2"/>
      <c r="R23" s="2"/>
      <c r="S23" s="2"/>
      <c r="T23" s="2"/>
    </row>
    <row r="24" spans="1:20" x14ac:dyDescent="0.25">
      <c r="A24" s="6" t="s">
        <v>22</v>
      </c>
      <c r="B24" s="38">
        <v>2</v>
      </c>
      <c r="C24" s="38">
        <v>3.4285714285714328</v>
      </c>
      <c r="D24" s="22">
        <v>1</v>
      </c>
      <c r="E24" s="23"/>
      <c r="F24" s="23"/>
      <c r="G24" s="33"/>
      <c r="H24" s="23"/>
      <c r="I24" s="34"/>
      <c r="J24" s="2"/>
      <c r="K24" s="2"/>
      <c r="L24" s="35"/>
      <c r="M24" s="35"/>
      <c r="N24" s="2"/>
      <c r="O24" s="2"/>
      <c r="P24" s="2"/>
      <c r="Q24" s="2"/>
      <c r="R24" s="2"/>
      <c r="S24" s="2"/>
      <c r="T24" s="2"/>
    </row>
    <row r="25" spans="1:20" x14ac:dyDescent="0.25">
      <c r="A25" s="6" t="s">
        <v>22</v>
      </c>
      <c r="B25" s="38">
        <v>1</v>
      </c>
      <c r="C25" s="38">
        <v>6.6666666666667496</v>
      </c>
      <c r="D25" s="15">
        <v>1</v>
      </c>
      <c r="E25" s="16"/>
      <c r="F25" s="16"/>
      <c r="G25" s="36"/>
      <c r="H25" s="16"/>
      <c r="I25" s="37"/>
      <c r="J25" s="2"/>
      <c r="K25" s="2"/>
      <c r="L25" s="35"/>
      <c r="M25" s="35"/>
      <c r="N25" s="2"/>
      <c r="O25" s="2"/>
      <c r="P25" s="2"/>
      <c r="Q25" s="2"/>
      <c r="R25" s="2"/>
      <c r="S25" s="2"/>
      <c r="T25" s="2"/>
    </row>
    <row r="26" spans="1:20" x14ac:dyDescent="0.25">
      <c r="A26" s="6" t="s">
        <v>23</v>
      </c>
      <c r="B26" s="38">
        <v>2</v>
      </c>
      <c r="C26" s="38">
        <v>3.7500000000000133</v>
      </c>
      <c r="D26" s="22">
        <v>1</v>
      </c>
      <c r="E26" s="23"/>
      <c r="F26" s="23"/>
      <c r="G26" s="33"/>
      <c r="H26" s="23"/>
      <c r="I26" s="34"/>
      <c r="J26" s="2"/>
      <c r="K26" s="2"/>
      <c r="L26" s="35"/>
      <c r="M26" s="35"/>
      <c r="N26" s="2"/>
      <c r="O26" s="2"/>
      <c r="P26" s="2"/>
      <c r="Q26" s="2"/>
      <c r="R26" s="2"/>
      <c r="S26" s="2"/>
      <c r="T26" s="2"/>
    </row>
    <row r="27" spans="1:20" x14ac:dyDescent="0.25">
      <c r="A27" s="6" t="s">
        <v>23</v>
      </c>
      <c r="B27" s="38">
        <v>2</v>
      </c>
      <c r="C27" s="38">
        <v>3.2432432432432483</v>
      </c>
      <c r="D27" s="15">
        <v>1</v>
      </c>
      <c r="E27" s="16"/>
      <c r="F27" s="16"/>
      <c r="G27" s="36"/>
      <c r="H27" s="16"/>
      <c r="I27" s="37"/>
      <c r="J27" s="2"/>
      <c r="K27" s="2"/>
      <c r="L27" s="35"/>
      <c r="M27" s="35"/>
      <c r="N27" s="2"/>
      <c r="O27" s="2"/>
      <c r="P27" s="2"/>
      <c r="Q27" s="2"/>
      <c r="R27" s="2"/>
      <c r="S27" s="2"/>
      <c r="T27" s="2"/>
    </row>
    <row r="28" spans="1:20" x14ac:dyDescent="0.25">
      <c r="A28" s="6" t="s">
        <v>23</v>
      </c>
      <c r="B28" s="38">
        <v>2</v>
      </c>
      <c r="C28" s="38">
        <v>11.999999999999947</v>
      </c>
      <c r="D28" s="22">
        <v>1</v>
      </c>
      <c r="E28" s="23"/>
      <c r="F28" s="23"/>
      <c r="G28" s="33"/>
      <c r="H28" s="23"/>
      <c r="I28" s="34"/>
      <c r="J28" s="2"/>
      <c r="K28" s="2"/>
      <c r="L28" s="35"/>
      <c r="M28" s="35"/>
      <c r="N28" s="2"/>
      <c r="O28" s="2"/>
      <c r="P28" s="2"/>
      <c r="Q28" s="2"/>
      <c r="R28" s="2"/>
      <c r="S28" s="2"/>
      <c r="T28" s="2"/>
    </row>
    <row r="29" spans="1:20" x14ac:dyDescent="0.25">
      <c r="A29" s="6" t="s">
        <v>23</v>
      </c>
      <c r="B29" s="38">
        <v>2</v>
      </c>
      <c r="C29" s="38">
        <v>5.7142857142857348</v>
      </c>
      <c r="D29" s="15">
        <v>1</v>
      </c>
      <c r="E29" s="16"/>
      <c r="F29" s="16"/>
      <c r="G29" s="36"/>
      <c r="H29" s="16"/>
      <c r="I29" s="37"/>
      <c r="J29" s="2"/>
      <c r="K29" s="2"/>
      <c r="L29" s="35"/>
      <c r="M29" s="35"/>
      <c r="N29" s="2"/>
      <c r="O29" s="2"/>
      <c r="P29" s="2"/>
      <c r="Q29" s="2"/>
      <c r="R29" s="2"/>
      <c r="S29" s="2"/>
      <c r="T29" s="2"/>
    </row>
    <row r="30" spans="1:20" x14ac:dyDescent="0.25">
      <c r="A30" s="6" t="s">
        <v>23</v>
      </c>
      <c r="B30" s="38">
        <v>1</v>
      </c>
      <c r="C30" s="38">
        <v>4.615384615384575</v>
      </c>
      <c r="D30" s="22">
        <v>1</v>
      </c>
      <c r="E30" s="23"/>
      <c r="F30" s="23"/>
      <c r="G30" s="33"/>
      <c r="H30" s="23"/>
      <c r="I30" s="34"/>
      <c r="J30" s="2"/>
      <c r="K30" s="2"/>
      <c r="L30" s="35"/>
      <c r="M30" s="35"/>
      <c r="N30" s="2"/>
      <c r="O30" s="2"/>
      <c r="P30" s="2"/>
      <c r="Q30" s="2"/>
      <c r="R30" s="2"/>
      <c r="S30" s="2"/>
      <c r="T30" s="2"/>
    </row>
    <row r="31" spans="1:20" x14ac:dyDescent="0.25">
      <c r="A31" s="6" t="s">
        <v>24</v>
      </c>
      <c r="B31" s="38">
        <v>5</v>
      </c>
      <c r="C31" s="38">
        <v>4.4117647058823586</v>
      </c>
      <c r="D31" s="15">
        <v>1</v>
      </c>
      <c r="E31" s="16"/>
      <c r="F31" s="16"/>
      <c r="G31" s="36"/>
      <c r="H31" s="16"/>
      <c r="I31" s="37"/>
      <c r="J31" s="2"/>
      <c r="K31" s="2"/>
      <c r="L31" s="35"/>
      <c r="M31" s="35"/>
      <c r="N31" s="2"/>
      <c r="O31" s="2"/>
      <c r="P31" s="2"/>
      <c r="Q31" s="2"/>
      <c r="R31" s="2"/>
      <c r="S31" s="2"/>
      <c r="T31" s="2"/>
    </row>
    <row r="32" spans="1:20" x14ac:dyDescent="0.25">
      <c r="A32" s="6" t="s">
        <v>24</v>
      </c>
      <c r="B32" s="38">
        <v>4</v>
      </c>
      <c r="C32" s="38">
        <v>5.6250000000000195</v>
      </c>
      <c r="D32" s="22">
        <v>1</v>
      </c>
      <c r="E32" s="23"/>
      <c r="F32" s="23"/>
      <c r="G32" s="33"/>
      <c r="H32" s="23"/>
      <c r="I32" s="34"/>
      <c r="J32" s="2"/>
      <c r="K32" s="2"/>
      <c r="L32" s="35"/>
      <c r="M32" s="35"/>
      <c r="N32" s="2"/>
      <c r="O32" s="2"/>
      <c r="P32" s="2"/>
      <c r="Q32" s="2"/>
      <c r="R32" s="2"/>
      <c r="S32" s="2"/>
      <c r="T32" s="2"/>
    </row>
    <row r="33" spans="1:20" x14ac:dyDescent="0.25">
      <c r="A33" s="6" t="s">
        <v>25</v>
      </c>
      <c r="B33" s="38">
        <v>3</v>
      </c>
      <c r="C33" s="38">
        <v>4.6153846153846132</v>
      </c>
      <c r="D33" s="15">
        <v>1</v>
      </c>
      <c r="E33" s="16"/>
      <c r="F33" s="16"/>
      <c r="G33" s="36"/>
      <c r="H33" s="16"/>
      <c r="I33" s="37"/>
      <c r="J33" s="2"/>
      <c r="K33" s="2"/>
      <c r="L33" s="35"/>
      <c r="M33" s="35"/>
      <c r="N33" s="2"/>
      <c r="O33" s="2"/>
      <c r="P33" s="2"/>
      <c r="Q33" s="2"/>
      <c r="R33" s="2"/>
      <c r="S33" s="2"/>
      <c r="T33" s="2"/>
    </row>
    <row r="34" spans="1:20" x14ac:dyDescent="0.25">
      <c r="A34" s="6" t="s">
        <v>25</v>
      </c>
      <c r="B34" s="38">
        <v>3</v>
      </c>
      <c r="C34" s="38">
        <v>4.736842105263154</v>
      </c>
      <c r="D34" s="22">
        <v>1</v>
      </c>
      <c r="E34" s="23"/>
      <c r="F34" s="23"/>
      <c r="G34" s="33"/>
      <c r="H34" s="23"/>
      <c r="I34" s="34"/>
      <c r="J34" s="2"/>
      <c r="K34" s="2"/>
      <c r="L34" s="35"/>
      <c r="M34" s="35"/>
      <c r="N34" s="2"/>
      <c r="O34" s="2"/>
      <c r="P34" s="2"/>
      <c r="Q34" s="2"/>
      <c r="R34" s="2"/>
      <c r="S34" s="2"/>
      <c r="T34" s="2"/>
    </row>
    <row r="35" spans="1:20" x14ac:dyDescent="0.25">
      <c r="A35" s="6" t="s">
        <v>25</v>
      </c>
      <c r="B35" s="38">
        <v>3</v>
      </c>
      <c r="C35" s="38">
        <v>3.6000000000000014</v>
      </c>
      <c r="D35" s="15">
        <v>1</v>
      </c>
      <c r="E35" s="16"/>
      <c r="F35" s="16"/>
      <c r="G35" s="36"/>
      <c r="H35" s="16"/>
      <c r="I35" s="37"/>
      <c r="J35" s="2"/>
      <c r="K35" s="2"/>
      <c r="L35" s="35"/>
      <c r="M35" s="35"/>
      <c r="N35" s="2"/>
      <c r="O35" s="2"/>
      <c r="P35" s="2"/>
      <c r="Q35" s="2"/>
      <c r="R35" s="2"/>
      <c r="S35" s="2"/>
      <c r="T35" s="2"/>
    </row>
    <row r="36" spans="1:20" x14ac:dyDescent="0.25">
      <c r="A36" s="6" t="s">
        <v>26</v>
      </c>
      <c r="B36" s="38">
        <v>2</v>
      </c>
      <c r="C36" s="38">
        <v>5.7142857142857784</v>
      </c>
      <c r="D36" s="22">
        <v>1</v>
      </c>
      <c r="E36" s="23"/>
      <c r="F36" s="23"/>
      <c r="G36" s="33"/>
      <c r="H36" s="23"/>
      <c r="I36" s="34"/>
      <c r="J36" s="2"/>
      <c r="K36" s="2"/>
      <c r="L36" s="35"/>
      <c r="M36" s="35"/>
      <c r="N36" s="2"/>
      <c r="O36" s="2"/>
      <c r="P36" s="2"/>
      <c r="Q36" s="2"/>
      <c r="R36" s="2"/>
      <c r="S36" s="2"/>
      <c r="T36" s="2"/>
    </row>
    <row r="37" spans="1:20" x14ac:dyDescent="0.25">
      <c r="A37" s="6" t="s">
        <v>26</v>
      </c>
      <c r="B37" s="38">
        <v>2</v>
      </c>
      <c r="C37" s="38">
        <v>4.7999999999999865</v>
      </c>
      <c r="D37" s="15">
        <v>1</v>
      </c>
      <c r="E37" s="16"/>
      <c r="F37" s="16"/>
      <c r="G37" s="36"/>
      <c r="H37" s="16"/>
      <c r="I37" s="37"/>
      <c r="J37" s="2"/>
      <c r="K37" s="2"/>
      <c r="L37" s="35"/>
      <c r="M37" s="35"/>
      <c r="N37" s="2"/>
      <c r="O37" s="2"/>
      <c r="P37" s="2"/>
      <c r="Q37" s="2"/>
      <c r="R37" s="2"/>
      <c r="S37" s="2"/>
      <c r="T37" s="2"/>
    </row>
    <row r="38" spans="1:20" x14ac:dyDescent="0.25">
      <c r="A38" s="6" t="s">
        <v>26</v>
      </c>
      <c r="B38" s="38">
        <v>2</v>
      </c>
      <c r="C38" s="38">
        <v>6.6666666666666901</v>
      </c>
      <c r="D38" s="22">
        <v>1</v>
      </c>
      <c r="E38" s="23"/>
      <c r="F38" s="23"/>
      <c r="G38" s="33"/>
      <c r="H38" s="23"/>
      <c r="I38" s="34"/>
      <c r="J38" s="2"/>
      <c r="K38" s="2"/>
      <c r="L38" s="35"/>
      <c r="M38" s="35"/>
      <c r="N38" s="2"/>
      <c r="O38" s="2"/>
      <c r="P38" s="2"/>
      <c r="Q38" s="2"/>
      <c r="R38" s="2"/>
      <c r="S38" s="2"/>
      <c r="T38" s="2"/>
    </row>
    <row r="39" spans="1:20" x14ac:dyDescent="0.25">
      <c r="A39" s="6" t="s">
        <v>26</v>
      </c>
      <c r="B39" s="38">
        <v>2</v>
      </c>
      <c r="C39" s="38">
        <v>10.000000000000036</v>
      </c>
      <c r="D39" s="15">
        <v>1</v>
      </c>
      <c r="E39" s="16"/>
      <c r="F39" s="16"/>
      <c r="G39" s="36"/>
      <c r="H39" s="16"/>
      <c r="I39" s="37"/>
      <c r="J39" s="2"/>
      <c r="K39" s="2"/>
      <c r="L39" s="35"/>
      <c r="M39" s="35"/>
      <c r="N39" s="2"/>
      <c r="O39" s="2"/>
      <c r="P39" s="2"/>
      <c r="Q39" s="2"/>
      <c r="R39" s="2"/>
      <c r="S39" s="2"/>
      <c r="T39" s="2"/>
    </row>
    <row r="40" spans="1:20" x14ac:dyDescent="0.25">
      <c r="A40" s="6" t="s">
        <v>26</v>
      </c>
      <c r="B40" s="38">
        <v>2</v>
      </c>
      <c r="C40" s="38">
        <v>5.0000000000000178</v>
      </c>
      <c r="D40" s="22">
        <v>1</v>
      </c>
      <c r="E40" s="23"/>
      <c r="F40" s="23"/>
      <c r="G40" s="33"/>
      <c r="H40" s="23"/>
      <c r="I40" s="34"/>
      <c r="J40" s="2"/>
      <c r="K40" s="2"/>
      <c r="L40" s="35"/>
      <c r="M40" s="35"/>
      <c r="N40" s="2"/>
      <c r="O40" s="2"/>
      <c r="P40" s="2"/>
      <c r="Q40" s="2"/>
      <c r="R40" s="2"/>
      <c r="S40" s="2"/>
      <c r="T40" s="2"/>
    </row>
    <row r="41" spans="1:20" x14ac:dyDescent="0.25">
      <c r="A41" s="6" t="s">
        <v>27</v>
      </c>
      <c r="B41" s="38">
        <v>2</v>
      </c>
      <c r="C41" s="38">
        <v>4.1379310344827509</v>
      </c>
      <c r="D41" s="15">
        <v>1</v>
      </c>
      <c r="E41" s="16"/>
      <c r="F41" s="16"/>
      <c r="G41" s="36"/>
      <c r="H41" s="16"/>
      <c r="I41" s="37"/>
      <c r="J41" s="2"/>
      <c r="K41" s="2"/>
      <c r="L41" s="35"/>
      <c r="M41" s="35"/>
      <c r="N41" s="2"/>
      <c r="O41" s="2"/>
      <c r="P41" s="2"/>
      <c r="Q41" s="2"/>
      <c r="R41" s="2"/>
      <c r="S41" s="2"/>
      <c r="T41" s="2"/>
    </row>
    <row r="42" spans="1:20" x14ac:dyDescent="0.25">
      <c r="A42" s="6" t="s">
        <v>27</v>
      </c>
      <c r="B42" s="38">
        <v>2</v>
      </c>
      <c r="C42" s="38">
        <v>3.9999999999999929</v>
      </c>
      <c r="D42" s="22">
        <v>1</v>
      </c>
      <c r="E42" s="23"/>
      <c r="F42" s="23"/>
      <c r="G42" s="33"/>
      <c r="H42" s="23"/>
      <c r="I42" s="34"/>
      <c r="J42" s="2"/>
      <c r="K42" s="2"/>
      <c r="L42" s="35"/>
      <c r="M42" s="35"/>
      <c r="N42" s="2"/>
      <c r="O42" s="2"/>
      <c r="P42" s="2"/>
      <c r="Q42" s="2"/>
      <c r="R42" s="2"/>
      <c r="S42" s="2"/>
      <c r="T42" s="2"/>
    </row>
    <row r="43" spans="1:20" x14ac:dyDescent="0.25">
      <c r="A43" s="6" t="s">
        <v>27</v>
      </c>
      <c r="B43" s="38">
        <v>2</v>
      </c>
      <c r="C43" s="38">
        <v>4.2857142857143007</v>
      </c>
      <c r="D43" s="15">
        <v>1</v>
      </c>
      <c r="E43" s="16"/>
      <c r="F43" s="16"/>
      <c r="G43" s="36"/>
      <c r="H43" s="16"/>
      <c r="I43" s="37"/>
      <c r="J43" s="2"/>
      <c r="K43" s="2"/>
      <c r="L43" s="35"/>
      <c r="M43" s="35"/>
      <c r="N43" s="2"/>
      <c r="O43" s="2"/>
      <c r="P43" s="2"/>
      <c r="Q43" s="2"/>
      <c r="R43" s="2"/>
      <c r="S43" s="2"/>
      <c r="T43" s="2"/>
    </row>
    <row r="44" spans="1:20" x14ac:dyDescent="0.25">
      <c r="A44" s="6" t="s">
        <v>27</v>
      </c>
      <c r="B44" s="38">
        <v>2</v>
      </c>
      <c r="C44" s="38">
        <v>3.6363636363636318</v>
      </c>
      <c r="D44" s="22">
        <v>1</v>
      </c>
      <c r="E44" s="23"/>
      <c r="F44" s="23"/>
      <c r="G44" s="33"/>
      <c r="H44" s="23"/>
      <c r="I44" s="34"/>
      <c r="J44" s="2"/>
      <c r="K44" s="2"/>
      <c r="L44" s="35"/>
      <c r="M44" s="35"/>
      <c r="N44" s="2"/>
      <c r="O44" s="2"/>
      <c r="P44" s="2"/>
      <c r="Q44" s="2"/>
      <c r="R44" s="2"/>
      <c r="S44" s="2"/>
      <c r="T44" s="2"/>
    </row>
    <row r="45" spans="1:20" x14ac:dyDescent="0.25">
      <c r="A45" s="6" t="s">
        <v>27</v>
      </c>
      <c r="B45" s="38">
        <v>1</v>
      </c>
      <c r="C45" s="38">
        <v>7.5000000000000266</v>
      </c>
      <c r="D45" s="15">
        <v>1</v>
      </c>
      <c r="E45" s="16"/>
      <c r="F45" s="16"/>
      <c r="G45" s="36"/>
      <c r="H45" s="16"/>
      <c r="I45" s="37"/>
      <c r="J45" s="2"/>
      <c r="K45" s="2"/>
      <c r="L45" s="35"/>
      <c r="M45" s="35"/>
      <c r="N45" s="2"/>
      <c r="O45" s="2"/>
      <c r="P45" s="2"/>
      <c r="Q45" s="2"/>
      <c r="R45" s="2"/>
      <c r="S45" s="2"/>
      <c r="T45" s="2"/>
    </row>
    <row r="46" spans="1:20" x14ac:dyDescent="0.25">
      <c r="A46" s="6" t="s">
        <v>28</v>
      </c>
      <c r="B46" s="38">
        <v>2</v>
      </c>
      <c r="C46" s="38">
        <v>5.0000000000000178</v>
      </c>
      <c r="D46" s="22">
        <v>1</v>
      </c>
      <c r="E46" s="23"/>
      <c r="F46" s="23"/>
      <c r="G46" s="33"/>
      <c r="H46" s="23"/>
      <c r="I46" s="34"/>
      <c r="J46" s="2"/>
      <c r="K46" s="2"/>
      <c r="L46" s="35"/>
      <c r="M46" s="35"/>
      <c r="N46" s="2"/>
      <c r="O46" s="2"/>
      <c r="P46" s="2"/>
      <c r="Q46" s="2"/>
      <c r="R46" s="2"/>
      <c r="S46" s="2"/>
      <c r="T46" s="2"/>
    </row>
    <row r="47" spans="1:20" x14ac:dyDescent="0.25">
      <c r="A47" s="6" t="s">
        <v>28</v>
      </c>
      <c r="B47" s="38">
        <v>2</v>
      </c>
      <c r="C47" s="38">
        <v>3.0769230769230624</v>
      </c>
      <c r="D47" s="15">
        <v>1</v>
      </c>
      <c r="E47" s="16"/>
      <c r="F47" s="16"/>
      <c r="G47" s="36"/>
      <c r="H47" s="16"/>
      <c r="I47" s="37"/>
      <c r="J47" s="2"/>
      <c r="K47" s="2"/>
      <c r="L47" s="35"/>
      <c r="M47" s="35"/>
      <c r="N47" s="2"/>
      <c r="O47" s="2"/>
      <c r="P47" s="2"/>
      <c r="Q47" s="2"/>
      <c r="R47" s="2"/>
      <c r="S47" s="2"/>
      <c r="T47" s="2"/>
    </row>
    <row r="48" spans="1:20" x14ac:dyDescent="0.25">
      <c r="A48" s="6" t="s">
        <v>28</v>
      </c>
      <c r="B48" s="38">
        <v>1</v>
      </c>
      <c r="C48" s="38">
        <v>7.5000000000000266</v>
      </c>
      <c r="D48" s="22">
        <v>1</v>
      </c>
      <c r="E48" s="23"/>
      <c r="F48" s="23"/>
      <c r="G48" s="33"/>
      <c r="H48" s="23"/>
      <c r="I48" s="34"/>
      <c r="J48" s="2"/>
      <c r="K48" s="2"/>
      <c r="L48" s="35"/>
      <c r="M48" s="35"/>
      <c r="N48" s="2"/>
      <c r="O48" s="2"/>
      <c r="P48" s="2"/>
      <c r="Q48" s="2"/>
      <c r="R48" s="2"/>
      <c r="S48" s="2"/>
      <c r="T48" s="2"/>
    </row>
    <row r="49" spans="1:20" x14ac:dyDescent="0.25">
      <c r="A49" s="6" t="s">
        <v>28</v>
      </c>
      <c r="B49" s="38">
        <v>2</v>
      </c>
      <c r="C49" s="38">
        <v>5.0000000000000178</v>
      </c>
      <c r="D49" s="15">
        <v>1</v>
      </c>
      <c r="E49" s="16"/>
      <c r="F49" s="16"/>
      <c r="G49" s="36"/>
      <c r="H49" s="16"/>
      <c r="I49" s="37"/>
      <c r="J49" s="2"/>
      <c r="K49" s="2"/>
      <c r="L49" s="35"/>
      <c r="M49" s="35"/>
      <c r="N49" s="2"/>
      <c r="O49" s="2"/>
      <c r="P49" s="2"/>
      <c r="Q49" s="2"/>
      <c r="R49" s="2"/>
      <c r="S49" s="2"/>
      <c r="T49" s="2"/>
    </row>
    <row r="50" spans="1:20" x14ac:dyDescent="0.25">
      <c r="A50" s="6" t="s">
        <v>28</v>
      </c>
      <c r="B50" s="38">
        <v>2</v>
      </c>
      <c r="C50" s="38">
        <v>6.0000000000000213</v>
      </c>
      <c r="D50" s="22">
        <v>1</v>
      </c>
      <c r="E50" s="23"/>
      <c r="F50" s="23"/>
      <c r="G50" s="33"/>
      <c r="H50" s="23"/>
      <c r="I50" s="34"/>
      <c r="J50" s="2"/>
      <c r="K50" s="2"/>
      <c r="L50" s="35"/>
      <c r="M50" s="35"/>
      <c r="N50" s="2"/>
      <c r="O50" s="2"/>
      <c r="P50" s="2"/>
      <c r="Q50" s="2"/>
      <c r="R50" s="2"/>
      <c r="S50" s="2"/>
      <c r="T50" s="2"/>
    </row>
    <row r="51" spans="1:20" x14ac:dyDescent="0.25">
      <c r="A51" s="6" t="s">
        <v>29</v>
      </c>
      <c r="B51" s="38">
        <v>2</v>
      </c>
      <c r="C51" s="38">
        <v>10.000000000000036</v>
      </c>
      <c r="D51" s="15">
        <v>1</v>
      </c>
      <c r="E51" s="16"/>
      <c r="F51" s="16"/>
      <c r="G51" s="36"/>
      <c r="H51" s="16"/>
      <c r="I51" s="37"/>
      <c r="J51" s="2"/>
      <c r="K51" s="2"/>
      <c r="L51" s="35"/>
      <c r="M51" s="35"/>
      <c r="N51" s="2"/>
      <c r="O51" s="2"/>
      <c r="P51" s="2"/>
      <c r="Q51" s="2"/>
      <c r="R51" s="2"/>
      <c r="S51" s="2"/>
      <c r="T51" s="2"/>
    </row>
    <row r="52" spans="1:20" x14ac:dyDescent="0.25">
      <c r="A52" s="6" t="s">
        <v>29</v>
      </c>
      <c r="B52" s="38">
        <v>2</v>
      </c>
      <c r="C52" s="38">
        <v>10.909090909090789</v>
      </c>
      <c r="D52" s="22">
        <v>1</v>
      </c>
      <c r="E52" s="23"/>
      <c r="F52" s="23"/>
      <c r="G52" s="33"/>
      <c r="H52" s="23"/>
      <c r="I52" s="34"/>
      <c r="J52" s="2"/>
      <c r="K52" s="2"/>
      <c r="L52" s="35"/>
      <c r="M52" s="35"/>
      <c r="N52" s="2"/>
      <c r="O52" s="2"/>
      <c r="P52" s="2"/>
      <c r="Q52" s="2"/>
      <c r="R52" s="2"/>
      <c r="S52" s="2"/>
      <c r="T52" s="2"/>
    </row>
    <row r="53" spans="1:20" x14ac:dyDescent="0.25">
      <c r="A53" s="6" t="s">
        <v>29</v>
      </c>
      <c r="B53" s="38">
        <v>2</v>
      </c>
      <c r="C53" s="38">
        <v>3.0769230769230753</v>
      </c>
      <c r="D53" s="15">
        <v>1</v>
      </c>
      <c r="E53" s="16"/>
      <c r="F53" s="16"/>
      <c r="G53" s="36"/>
      <c r="H53" s="16"/>
      <c r="I53" s="37"/>
      <c r="J53" s="2"/>
      <c r="K53" s="2"/>
      <c r="L53" s="35"/>
      <c r="M53" s="35"/>
      <c r="N53" s="2"/>
      <c r="O53" s="2"/>
      <c r="P53" s="2"/>
      <c r="Q53" s="2"/>
      <c r="R53" s="2"/>
      <c r="S53" s="2"/>
      <c r="T53" s="2"/>
    </row>
    <row r="54" spans="1:20" x14ac:dyDescent="0.25">
      <c r="A54" s="6" t="s">
        <v>29</v>
      </c>
      <c r="B54" s="38">
        <v>2</v>
      </c>
      <c r="C54" s="38">
        <v>3.9999999999999929</v>
      </c>
      <c r="D54" s="22">
        <v>1</v>
      </c>
      <c r="E54" s="23"/>
      <c r="F54" s="23"/>
      <c r="G54" s="33"/>
      <c r="H54" s="23"/>
      <c r="I54" s="34"/>
      <c r="J54" s="2"/>
      <c r="K54" s="2"/>
      <c r="L54" s="35"/>
      <c r="M54" s="35"/>
      <c r="N54" s="2"/>
      <c r="O54" s="2"/>
      <c r="P54" s="2"/>
      <c r="Q54" s="2"/>
      <c r="R54" s="2"/>
      <c r="S54" s="2"/>
      <c r="T54" s="2"/>
    </row>
    <row r="55" spans="1:20" x14ac:dyDescent="0.25">
      <c r="A55" s="6" t="s">
        <v>29</v>
      </c>
      <c r="B55" s="38">
        <v>1</v>
      </c>
      <c r="C55" s="38">
        <v>4.2857142857143007</v>
      </c>
      <c r="D55" s="15">
        <v>1</v>
      </c>
      <c r="E55" s="16"/>
      <c r="F55" s="16"/>
      <c r="G55" s="36"/>
      <c r="H55" s="16"/>
      <c r="I55" s="37"/>
      <c r="J55" s="2"/>
      <c r="K55" s="2"/>
      <c r="L55" s="35"/>
      <c r="M55" s="35"/>
      <c r="N55" s="2"/>
      <c r="O55" s="2"/>
      <c r="P55" s="2"/>
      <c r="Q55" s="2"/>
      <c r="R55" s="2"/>
      <c r="S55" s="2"/>
      <c r="T55" s="2"/>
    </row>
    <row r="56" spans="1:20" x14ac:dyDescent="0.25">
      <c r="A56" s="6" t="s">
        <v>30</v>
      </c>
      <c r="B56" s="38">
        <v>4</v>
      </c>
      <c r="C56" s="38">
        <v>5.0000000000000178</v>
      </c>
      <c r="D56" s="22">
        <v>1</v>
      </c>
      <c r="E56" s="23"/>
      <c r="F56" s="23"/>
      <c r="G56" s="33"/>
      <c r="H56" s="23"/>
      <c r="I56" s="34"/>
      <c r="J56" s="2"/>
      <c r="K56" s="2"/>
      <c r="L56" s="35"/>
      <c r="M56" s="35"/>
      <c r="N56" s="2"/>
      <c r="O56" s="2"/>
      <c r="P56" s="2"/>
      <c r="Q56" s="2"/>
      <c r="R56" s="2"/>
      <c r="S56" s="2"/>
      <c r="T56" s="2"/>
    </row>
    <row r="57" spans="1:20" x14ac:dyDescent="0.25">
      <c r="A57" s="6" t="s">
        <v>30</v>
      </c>
      <c r="B57" s="38">
        <v>4</v>
      </c>
      <c r="C57" s="38">
        <v>4.3902439024389883</v>
      </c>
      <c r="D57" s="15">
        <v>1</v>
      </c>
      <c r="E57" s="16"/>
      <c r="F57" s="16"/>
      <c r="G57" s="36"/>
      <c r="H57" s="16"/>
      <c r="I57" s="37"/>
      <c r="J57" s="2"/>
      <c r="K57" s="2"/>
      <c r="L57" s="35"/>
      <c r="M57" s="35"/>
      <c r="N57" s="2"/>
      <c r="O57" s="2"/>
      <c r="P57" s="2"/>
      <c r="Q57" s="2"/>
      <c r="R57" s="2"/>
      <c r="S57" s="2"/>
      <c r="T57" s="2"/>
    </row>
  </sheetData>
  <mergeCells count="2">
    <mergeCell ref="A1:D1"/>
    <mergeCell ref="F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Playbook v0.4.1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guelas</dc:creator>
  <cp:lastModifiedBy>guelas</cp:lastModifiedBy>
  <dcterms:created xsi:type="dcterms:W3CDTF">2026-04-04T11:35:22Z</dcterms:created>
  <dcterms:modified xsi:type="dcterms:W3CDTF">2026-04-04T11:38:20Z</dcterms:modified>
</cp:coreProperties>
</file>